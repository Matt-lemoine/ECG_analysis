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a602531f080c3d/Desktop/"/>
    </mc:Choice>
  </mc:AlternateContent>
  <xr:revisionPtr revIDLastSave="55" documentId="8_{D8D30DC9-8A12-4207-AB8F-FA37A4213977}" xr6:coauthVersionLast="47" xr6:coauthVersionMax="47" xr10:uidLastSave="{9F4C62EE-BD70-4005-B8EB-ACDF89B63D96}"/>
  <bookViews>
    <workbookView xWindow="10050" yWindow="0" windowWidth="13080" windowHeight="14730" activeTab="2" xr2:uid="{F75F6FBC-207B-4C4B-A745-AB363DD5B374}"/>
  </bookViews>
  <sheets>
    <sheet name="R2" sheetId="3" r:id="rId1"/>
    <sheet name="R3" sheetId="2" r:id="rId2"/>
    <sheet name="R4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I24" i="1"/>
  <c r="J24" i="1"/>
  <c r="K24" i="1"/>
  <c r="C24" i="1"/>
  <c r="D24" i="1"/>
  <c r="E24" i="1"/>
  <c r="F24" i="1"/>
  <c r="B24" i="1"/>
  <c r="K22" i="3"/>
  <c r="J22" i="3"/>
  <c r="I22" i="3"/>
  <c r="H22" i="3"/>
  <c r="F22" i="3"/>
  <c r="E22" i="3"/>
  <c r="D22" i="3"/>
  <c r="C22" i="3"/>
  <c r="B22" i="3"/>
  <c r="K22" i="2"/>
  <c r="J22" i="2"/>
  <c r="I22" i="2"/>
  <c r="H22" i="2"/>
  <c r="F22" i="2"/>
  <c r="E22" i="2"/>
  <c r="D22" i="2"/>
  <c r="C22" i="2"/>
  <c r="B22" i="2"/>
  <c r="H22" i="1"/>
  <c r="C22" i="1"/>
  <c r="B22" i="1"/>
  <c r="K22" i="1"/>
  <c r="J22" i="1"/>
  <c r="I22" i="1"/>
  <c r="F22" i="1"/>
  <c r="E22" i="1"/>
  <c r="D22" i="1"/>
  <c r="C9" i="3"/>
  <c r="D9" i="3"/>
  <c r="E9" i="3"/>
  <c r="F9" i="3"/>
  <c r="H9" i="3"/>
  <c r="I9" i="3"/>
  <c r="J9" i="3"/>
  <c r="K9" i="3"/>
  <c r="B9" i="3"/>
  <c r="B9" i="2"/>
  <c r="C9" i="2"/>
  <c r="D9" i="2"/>
  <c r="E9" i="2"/>
  <c r="F9" i="2"/>
  <c r="H9" i="2"/>
  <c r="I9" i="2"/>
  <c r="J9" i="2"/>
  <c r="K9" i="2"/>
  <c r="B9" i="1"/>
  <c r="C9" i="1"/>
  <c r="D9" i="1"/>
  <c r="E9" i="1"/>
  <c r="F9" i="1"/>
  <c r="H9" i="1"/>
  <c r="I9" i="1"/>
  <c r="J9" i="1"/>
  <c r="K9" i="1"/>
</calcChain>
</file>

<file path=xl/sharedStrings.xml><?xml version="1.0" encoding="utf-8"?>
<sst xmlns="http://schemas.openxmlformats.org/spreadsheetml/2006/main" count="111" uniqueCount="19">
  <si>
    <t>pers_vec_nocount_nooverlap</t>
  </si>
  <si>
    <t>leads</t>
  </si>
  <si>
    <t>all</t>
  </si>
  <si>
    <t>v1</t>
  </si>
  <si>
    <t>v2</t>
  </si>
  <si>
    <t>v3</t>
  </si>
  <si>
    <t>v1 &amp; v2</t>
  </si>
  <si>
    <t>v1 &amp; v3</t>
  </si>
  <si>
    <t>v2 &amp; v3</t>
  </si>
  <si>
    <t>pers_vec_nooverlap</t>
  </si>
  <si>
    <t>pers_vec_nocount</t>
  </si>
  <si>
    <t>PCV</t>
  </si>
  <si>
    <t>N=5</t>
  </si>
  <si>
    <t>N=10</t>
  </si>
  <si>
    <t>N=100</t>
  </si>
  <si>
    <t>Betti N = 1</t>
  </si>
  <si>
    <t>pers_vec_noarea (=B(N=1))</t>
  </si>
  <si>
    <t>average</t>
  </si>
  <si>
    <t>With the 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</si>
</sst>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A9E4-FEB9-49AF-B951-DFCC21E55B9C}">
  <dimension ref="A1:K22"/>
  <sheetViews>
    <sheetView workbookViewId="0">
      <selection activeCell="E15" sqref="E15"/>
    </sheetView>
  </sheetViews>
  <sheetFormatPr defaultRowHeight="14.5" x14ac:dyDescent="0.35"/>
  <sheetData>
    <row r="1" spans="1:11" x14ac:dyDescent="0.35">
      <c r="A1" t="s">
        <v>1</v>
      </c>
      <c r="B1" t="s">
        <v>16</v>
      </c>
      <c r="C1" t="s">
        <v>0</v>
      </c>
      <c r="D1" t="s">
        <v>9</v>
      </c>
      <c r="E1" t="s">
        <v>10</v>
      </c>
      <c r="F1" t="s">
        <v>11</v>
      </c>
      <c r="H1" t="s">
        <v>15</v>
      </c>
      <c r="I1" t="s">
        <v>12</v>
      </c>
      <c r="J1" t="s">
        <v>13</v>
      </c>
      <c r="K1" t="s">
        <v>14</v>
      </c>
    </row>
    <row r="2" spans="1:11" x14ac:dyDescent="0.35">
      <c r="A2" t="s">
        <v>2</v>
      </c>
      <c r="B2">
        <v>2.9373999999999998</v>
      </c>
      <c r="C2">
        <v>3.0958999999999999</v>
      </c>
      <c r="D2">
        <v>3.1463000000000001</v>
      </c>
      <c r="E2">
        <v>3.3725999999999998</v>
      </c>
      <c r="F2">
        <v>3.2685</v>
      </c>
      <c r="H2">
        <v>4.5891999999999999</v>
      </c>
      <c r="I2">
        <v>6.9119000000000002</v>
      </c>
      <c r="J2">
        <v>10.008800000000001</v>
      </c>
      <c r="K2">
        <v>66.697800000000001</v>
      </c>
    </row>
    <row r="3" spans="1:11" x14ac:dyDescent="0.35">
      <c r="A3" t="s">
        <v>3</v>
      </c>
      <c r="B3">
        <v>2.9072</v>
      </c>
      <c r="C3">
        <v>3.0948000000000002</v>
      </c>
      <c r="D3">
        <v>3.145</v>
      </c>
      <c r="E3">
        <v>3.3666</v>
      </c>
      <c r="F3">
        <v>3.2692999999999999</v>
      </c>
      <c r="H3">
        <v>4.6105</v>
      </c>
      <c r="I3">
        <v>6.8998999999999997</v>
      </c>
      <c r="J3">
        <v>9.9609000000000005</v>
      </c>
      <c r="K3">
        <v>66.113900000000001</v>
      </c>
    </row>
    <row r="4" spans="1:11" x14ac:dyDescent="0.35">
      <c r="A4" t="s">
        <v>4</v>
      </c>
      <c r="B4">
        <v>2.911</v>
      </c>
      <c r="C4">
        <v>3.1211000000000002</v>
      </c>
      <c r="D4">
        <v>3.1070000000000002</v>
      </c>
      <c r="E4">
        <v>3.2742</v>
      </c>
      <c r="F4">
        <v>3.2795000000000001</v>
      </c>
      <c r="H4">
        <v>4.5829000000000004</v>
      </c>
      <c r="I4">
        <v>6.883</v>
      </c>
      <c r="J4">
        <v>9.9530999999999992</v>
      </c>
      <c r="K4">
        <v>66.069400000000002</v>
      </c>
    </row>
    <row r="5" spans="1:11" x14ac:dyDescent="0.35">
      <c r="A5" t="s">
        <v>5</v>
      </c>
      <c r="B5">
        <v>2.9135</v>
      </c>
      <c r="C5">
        <v>3.0739999999999998</v>
      </c>
      <c r="D5">
        <v>3.1360000000000001</v>
      </c>
      <c r="E5">
        <v>3.2713000000000001</v>
      </c>
      <c r="F5">
        <v>3.3290000000000002</v>
      </c>
      <c r="H5">
        <v>4.5837000000000003</v>
      </c>
      <c r="I5">
        <v>6.8644999999999996</v>
      </c>
      <c r="J5">
        <v>9.9402000000000008</v>
      </c>
      <c r="K5">
        <v>65.992500000000007</v>
      </c>
    </row>
    <row r="6" spans="1:11" x14ac:dyDescent="0.35">
      <c r="A6" t="s">
        <v>6</v>
      </c>
      <c r="B6">
        <v>2.9340000000000002</v>
      </c>
      <c r="C6">
        <v>3.0762</v>
      </c>
      <c r="D6">
        <v>3.1179999999999999</v>
      </c>
      <c r="E6">
        <v>3.2865000000000002</v>
      </c>
      <c r="F6">
        <v>3.3188</v>
      </c>
      <c r="H6">
        <v>4.6097000000000001</v>
      </c>
      <c r="I6">
        <v>6.8833000000000002</v>
      </c>
      <c r="J6">
        <v>9.9718999999999998</v>
      </c>
      <c r="K6">
        <v>66.218000000000004</v>
      </c>
    </row>
    <row r="7" spans="1:11" x14ac:dyDescent="0.35">
      <c r="A7" t="s">
        <v>7</v>
      </c>
      <c r="B7">
        <v>2.8860999999999999</v>
      </c>
      <c r="C7">
        <v>3.1103000000000001</v>
      </c>
      <c r="D7">
        <v>3.1248</v>
      </c>
      <c r="E7">
        <v>3.2694000000000001</v>
      </c>
      <c r="F7">
        <v>3.2976999999999999</v>
      </c>
      <c r="H7">
        <v>4.5922000000000001</v>
      </c>
      <c r="I7">
        <v>6.9032</v>
      </c>
      <c r="J7">
        <v>10.000400000000001</v>
      </c>
      <c r="K7">
        <v>66.546800000000005</v>
      </c>
    </row>
    <row r="8" spans="1:11" x14ac:dyDescent="0.35">
      <c r="A8" t="s">
        <v>8</v>
      </c>
      <c r="B8">
        <v>2.9113000000000002</v>
      </c>
      <c r="C8">
        <v>3.2004000000000001</v>
      </c>
      <c r="D8">
        <v>3.1968999999999999</v>
      </c>
      <c r="E8">
        <v>3.2515999999999998</v>
      </c>
      <c r="F8">
        <v>3.2909999999999999</v>
      </c>
      <c r="H8">
        <v>4.6516999999999999</v>
      </c>
      <c r="I8">
        <v>6.9313000000000002</v>
      </c>
      <c r="J8">
        <v>10.0236</v>
      </c>
      <c r="K8">
        <v>66.406599999999997</v>
      </c>
    </row>
    <row r="9" spans="1:11" x14ac:dyDescent="0.35">
      <c r="A9" s="1" t="s">
        <v>17</v>
      </c>
      <c r="B9" s="1">
        <f>AVERAGE(B2:B8)</f>
        <v>2.9143571428571429</v>
      </c>
      <c r="C9" s="1">
        <f t="shared" ref="C9:K9" si="0">AVERAGE(C2:C8)</f>
        <v>3.1103857142857145</v>
      </c>
      <c r="D9" s="1">
        <f t="shared" si="0"/>
        <v>3.1391428571428568</v>
      </c>
      <c r="E9" s="1">
        <f t="shared" si="0"/>
        <v>3.2988857142857144</v>
      </c>
      <c r="F9" s="1">
        <f t="shared" si="0"/>
        <v>3.2933999999999997</v>
      </c>
      <c r="G9" s="1"/>
      <c r="H9" s="1">
        <f t="shared" si="0"/>
        <v>4.6028428571428579</v>
      </c>
      <c r="I9" s="1">
        <f t="shared" si="0"/>
        <v>6.8967285714285707</v>
      </c>
      <c r="J9" s="1">
        <f t="shared" si="0"/>
        <v>9.9798428571428559</v>
      </c>
      <c r="K9" s="1">
        <f t="shared" si="0"/>
        <v>66.292142857142863</v>
      </c>
    </row>
    <row r="13" spans="1:11" x14ac:dyDescent="0.35">
      <c r="A13" t="s">
        <v>18</v>
      </c>
    </row>
    <row r="14" spans="1:11" x14ac:dyDescent="0.35">
      <c r="A14" t="s">
        <v>1</v>
      </c>
      <c r="B14" t="s">
        <v>16</v>
      </c>
      <c r="C14" t="s">
        <v>0</v>
      </c>
      <c r="D14" t="s">
        <v>9</v>
      </c>
      <c r="E14" t="s">
        <v>10</v>
      </c>
      <c r="F14" t="s">
        <v>11</v>
      </c>
      <c r="H14" t="s">
        <v>15</v>
      </c>
      <c r="I14" t="s">
        <v>12</v>
      </c>
      <c r="J14" t="s">
        <v>13</v>
      </c>
      <c r="K14" t="s">
        <v>14</v>
      </c>
    </row>
    <row r="15" spans="1:11" x14ac:dyDescent="0.35">
      <c r="A15" t="s">
        <v>2</v>
      </c>
      <c r="B15">
        <v>2.9744000000000002</v>
      </c>
      <c r="C15">
        <v>3.1313</v>
      </c>
      <c r="D15">
        <v>3.1709999999999998</v>
      </c>
      <c r="E15">
        <v>3.1977000000000002</v>
      </c>
      <c r="F15">
        <v>3.1871</v>
      </c>
      <c r="H15">
        <v>4.6826999999999996</v>
      </c>
      <c r="I15">
        <v>11.695399999999999</v>
      </c>
      <c r="J15">
        <v>21.853400000000001</v>
      </c>
      <c r="K15">
        <v>89.481499999999997</v>
      </c>
    </row>
    <row r="16" spans="1:11" x14ac:dyDescent="0.35">
      <c r="A16" t="s">
        <v>3</v>
      </c>
      <c r="B16">
        <v>2.9817999999999998</v>
      </c>
      <c r="C16">
        <v>3.1598000000000002</v>
      </c>
      <c r="D16">
        <v>3.2107000000000001</v>
      </c>
      <c r="E16">
        <v>3.3117999999999999</v>
      </c>
      <c r="F16">
        <v>3.1547999999999998</v>
      </c>
      <c r="H16">
        <v>4.6616999999999997</v>
      </c>
      <c r="I16">
        <v>11.674899999999999</v>
      </c>
      <c r="J16">
        <v>21.835100000000001</v>
      </c>
      <c r="K16">
        <v>89.516300000000001</v>
      </c>
    </row>
    <row r="17" spans="1:11" x14ac:dyDescent="0.35">
      <c r="A17" t="s">
        <v>4</v>
      </c>
      <c r="B17">
        <v>2.9331999999999998</v>
      </c>
      <c r="C17">
        <v>3.1436999999999999</v>
      </c>
      <c r="D17">
        <v>3.1734</v>
      </c>
      <c r="E17">
        <v>3.2067999999999999</v>
      </c>
      <c r="F17">
        <v>3.1425000000000001</v>
      </c>
      <c r="H17">
        <v>4.6540999999999997</v>
      </c>
      <c r="I17">
        <v>11.6516</v>
      </c>
      <c r="J17">
        <v>21.7957</v>
      </c>
      <c r="K17">
        <v>89.342799999999997</v>
      </c>
    </row>
    <row r="18" spans="1:11" x14ac:dyDescent="0.35">
      <c r="A18" t="s">
        <v>5</v>
      </c>
      <c r="B18">
        <v>2.9693000000000001</v>
      </c>
      <c r="C18">
        <v>3.1273</v>
      </c>
      <c r="D18">
        <v>3.1147999999999998</v>
      </c>
      <c r="E18">
        <v>3.1404999999999998</v>
      </c>
      <c r="F18">
        <v>3.1886000000000001</v>
      </c>
      <c r="H18">
        <v>4.6818999999999997</v>
      </c>
      <c r="I18">
        <v>11.7141</v>
      </c>
      <c r="J18">
        <v>21.911200000000001</v>
      </c>
      <c r="K18">
        <v>89.939899999999994</v>
      </c>
    </row>
    <row r="19" spans="1:11" x14ac:dyDescent="0.35">
      <c r="A19" t="s">
        <v>6</v>
      </c>
      <c r="B19">
        <v>2.9312</v>
      </c>
      <c r="C19">
        <v>3.1486000000000001</v>
      </c>
      <c r="D19">
        <v>3.1911</v>
      </c>
      <c r="E19">
        <v>3.2978999999999998</v>
      </c>
      <c r="F19">
        <v>3.1459999999999999</v>
      </c>
      <c r="H19">
        <v>4.6593</v>
      </c>
      <c r="I19">
        <v>11.6608</v>
      </c>
      <c r="J19">
        <v>21.8001</v>
      </c>
      <c r="K19">
        <v>89.369</v>
      </c>
    </row>
    <row r="20" spans="1:11" x14ac:dyDescent="0.35">
      <c r="A20" t="s">
        <v>7</v>
      </c>
      <c r="B20">
        <v>2.9499</v>
      </c>
      <c r="C20">
        <v>3.1398999999999999</v>
      </c>
      <c r="D20">
        <v>3.1221000000000001</v>
      </c>
      <c r="E20">
        <v>3.2566999999999999</v>
      </c>
      <c r="F20">
        <v>3.1566000000000001</v>
      </c>
      <c r="H20">
        <v>4.4908000000000001</v>
      </c>
      <c r="I20">
        <v>11.4389</v>
      </c>
      <c r="J20">
        <v>21.574400000000001</v>
      </c>
      <c r="K20">
        <v>89.019199999999998</v>
      </c>
    </row>
    <row r="21" spans="1:11" x14ac:dyDescent="0.35">
      <c r="A21" t="s">
        <v>8</v>
      </c>
      <c r="B21">
        <v>2.9592999999999998</v>
      </c>
      <c r="C21">
        <v>3.1223000000000001</v>
      </c>
      <c r="D21">
        <v>3.1705999999999999</v>
      </c>
      <c r="E21">
        <v>3.1968000000000001</v>
      </c>
      <c r="F21">
        <v>3.1587000000000001</v>
      </c>
      <c r="H21">
        <v>4.6620999999999997</v>
      </c>
      <c r="I21">
        <v>11.6729</v>
      </c>
      <c r="J21">
        <v>21.822900000000001</v>
      </c>
      <c r="K21">
        <v>89.411199999999994</v>
      </c>
    </row>
    <row r="22" spans="1:11" x14ac:dyDescent="0.35">
      <c r="A22" s="1" t="s">
        <v>17</v>
      </c>
      <c r="B22" s="1">
        <f>AVERAGE(B15:B21)</f>
        <v>2.957014285714286</v>
      </c>
      <c r="C22" s="1">
        <f>AVERAGE(C15:C21)</f>
        <v>3.138985714285714</v>
      </c>
      <c r="D22" s="1">
        <f t="shared" ref="D22:J22" si="1">AVERAGE(D15:D21)</f>
        <v>3.1648142857142858</v>
      </c>
      <c r="E22" s="1">
        <f t="shared" si="1"/>
        <v>3.2297428571428566</v>
      </c>
      <c r="F22" s="1">
        <f t="shared" si="1"/>
        <v>3.1620428571428576</v>
      </c>
      <c r="G22" s="1"/>
      <c r="H22" s="1">
        <f>AVERAGE(H15:H21)</f>
        <v>4.6418000000000008</v>
      </c>
      <c r="I22" s="1">
        <f t="shared" si="1"/>
        <v>11.644085714285714</v>
      </c>
      <c r="J22" s="1">
        <f t="shared" si="1"/>
        <v>21.798971428571431</v>
      </c>
      <c r="K22" s="1">
        <f>AVERAGE(K15:K21)</f>
        <v>89.439985714285712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7063-655F-4A74-8612-72DB1C7B53A1}">
  <dimension ref="A1:K22"/>
  <sheetViews>
    <sheetView workbookViewId="0">
      <selection activeCell="E15" sqref="E15"/>
    </sheetView>
  </sheetViews>
  <sheetFormatPr defaultRowHeight="14.5" x14ac:dyDescent="0.35"/>
  <sheetData>
    <row r="1" spans="1:11" x14ac:dyDescent="0.35">
      <c r="A1" t="s">
        <v>1</v>
      </c>
      <c r="B1" t="s">
        <v>16</v>
      </c>
      <c r="C1" t="s">
        <v>0</v>
      </c>
      <c r="D1" t="s">
        <v>9</v>
      </c>
      <c r="E1" t="s">
        <v>10</v>
      </c>
      <c r="F1" t="s">
        <v>11</v>
      </c>
      <c r="H1" t="s">
        <v>15</v>
      </c>
      <c r="I1" t="s">
        <v>12</v>
      </c>
      <c r="J1" t="s">
        <v>13</v>
      </c>
      <c r="K1" t="s">
        <v>14</v>
      </c>
    </row>
    <row r="2" spans="1:11" x14ac:dyDescent="0.35">
      <c r="A2" t="s">
        <v>2</v>
      </c>
      <c r="B2">
        <v>3.1141000000000001</v>
      </c>
      <c r="C2">
        <v>3.3340999999999998</v>
      </c>
      <c r="D2">
        <v>3.3393999999999999</v>
      </c>
      <c r="E2">
        <v>3.6111</v>
      </c>
      <c r="F2">
        <v>3.5760999999999998</v>
      </c>
      <c r="H2">
        <v>4.9725999999999999</v>
      </c>
      <c r="I2">
        <v>7.4893000000000001</v>
      </c>
      <c r="J2">
        <v>10.9734</v>
      </c>
      <c r="K2">
        <v>73.554599999999994</v>
      </c>
    </row>
    <row r="3" spans="1:11" x14ac:dyDescent="0.35">
      <c r="A3" t="s">
        <v>3</v>
      </c>
      <c r="B3">
        <v>3.1063999999999998</v>
      </c>
      <c r="C3">
        <v>3.3260999999999998</v>
      </c>
      <c r="D3">
        <v>3.339</v>
      </c>
      <c r="E3">
        <v>3.6070000000000002</v>
      </c>
      <c r="F3">
        <v>3.5461999999999998</v>
      </c>
      <c r="H3">
        <v>4.9519000000000002</v>
      </c>
      <c r="I3">
        <v>7.5193000000000003</v>
      </c>
      <c r="J3">
        <v>10.9564</v>
      </c>
      <c r="K3">
        <v>73.506100000000004</v>
      </c>
    </row>
    <row r="4" spans="1:11" x14ac:dyDescent="0.35">
      <c r="A4" t="s">
        <v>4</v>
      </c>
      <c r="B4">
        <v>3.1158999999999999</v>
      </c>
      <c r="C4">
        <v>3.3300999999999998</v>
      </c>
      <c r="D4">
        <v>3.3378999999999999</v>
      </c>
      <c r="E4">
        <v>3.4948999999999999</v>
      </c>
      <c r="F4">
        <v>3.5242</v>
      </c>
      <c r="H4">
        <v>4.9566999999999997</v>
      </c>
      <c r="I4">
        <v>7.5083000000000002</v>
      </c>
      <c r="J4">
        <v>10.9506</v>
      </c>
      <c r="K4">
        <v>73.368099999999998</v>
      </c>
    </row>
    <row r="5" spans="1:11" x14ac:dyDescent="0.35">
      <c r="A5" t="s">
        <v>5</v>
      </c>
      <c r="B5">
        <v>3.1577000000000002</v>
      </c>
      <c r="C5">
        <v>3.3207</v>
      </c>
      <c r="D5">
        <v>3.3273000000000001</v>
      </c>
      <c r="E5">
        <v>3.5167000000000002</v>
      </c>
      <c r="F5">
        <v>3.5217000000000001</v>
      </c>
      <c r="H5">
        <v>5.0576999999999996</v>
      </c>
      <c r="I5">
        <v>7.7183999999999999</v>
      </c>
      <c r="J5">
        <v>11.3796</v>
      </c>
      <c r="K5">
        <v>77.099299999999999</v>
      </c>
    </row>
    <row r="6" spans="1:11" x14ac:dyDescent="0.35">
      <c r="A6" t="s">
        <v>6</v>
      </c>
      <c r="B6">
        <v>3.1339000000000001</v>
      </c>
      <c r="C6">
        <v>3.3340999999999998</v>
      </c>
      <c r="D6">
        <v>3.3691</v>
      </c>
      <c r="E6">
        <v>3.5436000000000001</v>
      </c>
      <c r="F6">
        <v>3.5528</v>
      </c>
      <c r="H6">
        <v>4.9588999999999999</v>
      </c>
      <c r="I6">
        <v>7.5029000000000003</v>
      </c>
      <c r="J6">
        <v>10.936999999999999</v>
      </c>
      <c r="K6">
        <v>73.441699999999997</v>
      </c>
    </row>
    <row r="7" spans="1:11" x14ac:dyDescent="0.35">
      <c r="A7" t="s">
        <v>7</v>
      </c>
      <c r="B7">
        <v>3.1240000000000001</v>
      </c>
      <c r="C7">
        <v>3.3060999999999998</v>
      </c>
      <c r="D7">
        <v>3.3738999999999999</v>
      </c>
      <c r="E7">
        <v>3.4870999999999999</v>
      </c>
      <c r="F7">
        <v>3.4979</v>
      </c>
      <c r="H7">
        <v>4.9378000000000002</v>
      </c>
      <c r="I7">
        <v>7.5225999999999997</v>
      </c>
      <c r="J7">
        <v>11.0197</v>
      </c>
      <c r="K7">
        <v>74.082400000000007</v>
      </c>
    </row>
    <row r="8" spans="1:11" x14ac:dyDescent="0.35">
      <c r="A8" t="s">
        <v>8</v>
      </c>
      <c r="B8">
        <v>3.1837</v>
      </c>
      <c r="C8">
        <v>3.3037000000000001</v>
      </c>
      <c r="D8">
        <v>3.3279999999999998</v>
      </c>
      <c r="E8">
        <v>3.5081000000000002</v>
      </c>
      <c r="F8">
        <v>3.5150999999999999</v>
      </c>
      <c r="H8">
        <v>5.0106999999999999</v>
      </c>
      <c r="I8">
        <v>7.5742000000000003</v>
      </c>
      <c r="J8">
        <v>11.0396</v>
      </c>
      <c r="K8">
        <v>74.093299999999999</v>
      </c>
    </row>
    <row r="9" spans="1:11" x14ac:dyDescent="0.35">
      <c r="A9" s="1" t="s">
        <v>17</v>
      </c>
      <c r="B9" s="1">
        <f t="shared" ref="B9:J9" si="0">AVERAGE(B2:B8)</f>
        <v>3.1336714285714282</v>
      </c>
      <c r="C9" s="1">
        <f t="shared" si="0"/>
        <v>3.3221285714285713</v>
      </c>
      <c r="D9" s="1">
        <f t="shared" si="0"/>
        <v>3.3449428571428568</v>
      </c>
      <c r="E9" s="1">
        <f t="shared" si="0"/>
        <v>3.5383571428571421</v>
      </c>
      <c r="F9" s="1">
        <f t="shared" si="0"/>
        <v>3.5334285714285718</v>
      </c>
      <c r="G9" s="1"/>
      <c r="H9" s="1">
        <f t="shared" si="0"/>
        <v>4.9780428571428574</v>
      </c>
      <c r="I9" s="1">
        <f t="shared" si="0"/>
        <v>7.5478571428571417</v>
      </c>
      <c r="J9" s="1">
        <f t="shared" si="0"/>
        <v>11.036614285714288</v>
      </c>
      <c r="K9" s="1">
        <f>AVERAGE(K2:K8)</f>
        <v>74.163642857142847</v>
      </c>
    </row>
    <row r="13" spans="1:11" x14ac:dyDescent="0.35">
      <c r="A13" t="s">
        <v>18</v>
      </c>
    </row>
    <row r="14" spans="1:11" x14ac:dyDescent="0.35">
      <c r="A14" t="s">
        <v>1</v>
      </c>
      <c r="B14" t="s">
        <v>16</v>
      </c>
      <c r="C14" t="s">
        <v>0</v>
      </c>
      <c r="D14" t="s">
        <v>9</v>
      </c>
      <c r="E14" t="s">
        <v>10</v>
      </c>
      <c r="F14" t="s">
        <v>11</v>
      </c>
      <c r="H14" t="s">
        <v>15</v>
      </c>
      <c r="I14" t="s">
        <v>12</v>
      </c>
      <c r="J14" t="s">
        <v>13</v>
      </c>
      <c r="K14" t="s">
        <v>14</v>
      </c>
    </row>
    <row r="15" spans="1:11" x14ac:dyDescent="0.35">
      <c r="A15" t="s">
        <v>2</v>
      </c>
      <c r="B15">
        <v>3.1442000000000001</v>
      </c>
      <c r="C15">
        <v>3.1888999999999998</v>
      </c>
      <c r="D15">
        <v>3.2033999999999998</v>
      </c>
      <c r="E15">
        <v>3.3405</v>
      </c>
      <c r="F15">
        <v>3.3948</v>
      </c>
      <c r="H15">
        <v>4.7653999999999996</v>
      </c>
      <c r="I15">
        <v>12.3759</v>
      </c>
      <c r="J15">
        <v>23.549099999999999</v>
      </c>
      <c r="K15">
        <v>98.762200000000007</v>
      </c>
    </row>
    <row r="16" spans="1:11" x14ac:dyDescent="0.35">
      <c r="A16" t="s">
        <v>3</v>
      </c>
      <c r="B16">
        <v>3.145</v>
      </c>
      <c r="C16">
        <v>3.2195999999999998</v>
      </c>
      <c r="D16">
        <v>3.2347000000000001</v>
      </c>
      <c r="E16">
        <v>3.4799000000000002</v>
      </c>
      <c r="F16">
        <v>3.3561999999999999</v>
      </c>
      <c r="H16">
        <v>4.7591999999999999</v>
      </c>
      <c r="I16">
        <v>12.367800000000001</v>
      </c>
      <c r="J16">
        <v>23.5473</v>
      </c>
      <c r="K16">
        <v>98.778400000000005</v>
      </c>
    </row>
    <row r="17" spans="1:11" x14ac:dyDescent="0.35">
      <c r="A17" t="s">
        <v>4</v>
      </c>
      <c r="B17">
        <v>2.9676</v>
      </c>
      <c r="C17">
        <v>3.1892</v>
      </c>
      <c r="D17">
        <v>3.1983999999999999</v>
      </c>
      <c r="E17">
        <v>3.3445</v>
      </c>
      <c r="F17">
        <v>3.34659</v>
      </c>
      <c r="H17">
        <v>4.7615999999999996</v>
      </c>
      <c r="I17">
        <v>12.3628</v>
      </c>
      <c r="J17">
        <v>23.5199</v>
      </c>
      <c r="K17">
        <v>98.601699999999994</v>
      </c>
    </row>
    <row r="18" spans="1:11" x14ac:dyDescent="0.35">
      <c r="A18" t="s">
        <v>5</v>
      </c>
      <c r="B18">
        <v>3.1467000000000001</v>
      </c>
      <c r="C18">
        <v>3.1837</v>
      </c>
      <c r="D18">
        <v>3.1970999999999998</v>
      </c>
      <c r="E18">
        <v>3.3376000000000001</v>
      </c>
      <c r="F18">
        <v>3.3961999999999999</v>
      </c>
      <c r="H18">
        <v>4.7737999999999996</v>
      </c>
      <c r="I18">
        <v>12.412599999999999</v>
      </c>
      <c r="J18">
        <v>23.628399999999999</v>
      </c>
      <c r="K18">
        <v>99.234899999999996</v>
      </c>
    </row>
    <row r="19" spans="1:11" x14ac:dyDescent="0.35">
      <c r="A19" t="s">
        <v>6</v>
      </c>
      <c r="B19">
        <v>3.0693999999999999</v>
      </c>
      <c r="C19">
        <v>3.2035999999999998</v>
      </c>
      <c r="D19">
        <v>3.2206999999999999</v>
      </c>
      <c r="E19">
        <v>3.4615999999999998</v>
      </c>
      <c r="F19">
        <v>3.3616000000000001</v>
      </c>
      <c r="H19">
        <v>4.7529000000000003</v>
      </c>
      <c r="I19">
        <v>12.3513</v>
      </c>
      <c r="J19">
        <v>23.503599999999999</v>
      </c>
      <c r="K19">
        <v>98.571200000000005</v>
      </c>
    </row>
    <row r="20" spans="1:11" x14ac:dyDescent="0.35">
      <c r="A20" t="s">
        <v>7</v>
      </c>
      <c r="B20">
        <v>3.105</v>
      </c>
      <c r="C20">
        <v>3.1964999999999999</v>
      </c>
      <c r="D20">
        <v>3.2197</v>
      </c>
      <c r="E20">
        <v>3.4668999999999999</v>
      </c>
      <c r="F20">
        <v>3.3552</v>
      </c>
      <c r="H20">
        <v>4.7621000000000002</v>
      </c>
      <c r="I20">
        <v>12.362</v>
      </c>
      <c r="J20">
        <v>23.509499999999999</v>
      </c>
      <c r="K20">
        <v>98.429100000000005</v>
      </c>
    </row>
    <row r="21" spans="1:11" x14ac:dyDescent="0.35">
      <c r="A21" t="s">
        <v>8</v>
      </c>
      <c r="B21">
        <v>3.1126999999999998</v>
      </c>
      <c r="C21">
        <v>3.1844000000000001</v>
      </c>
      <c r="D21">
        <v>3.1951999999999998</v>
      </c>
      <c r="E21">
        <v>3.3405</v>
      </c>
      <c r="F21">
        <v>3.3662000000000001</v>
      </c>
      <c r="H21">
        <v>4.7587999999999999</v>
      </c>
      <c r="I21">
        <v>12.359500000000001</v>
      </c>
      <c r="J21">
        <v>23.523800000000001</v>
      </c>
      <c r="K21">
        <v>98.651700000000005</v>
      </c>
    </row>
    <row r="22" spans="1:11" x14ac:dyDescent="0.35">
      <c r="A22" s="1" t="s">
        <v>17</v>
      </c>
      <c r="B22" s="1">
        <f>AVERAGE(B15:B21)</f>
        <v>3.0986571428571428</v>
      </c>
      <c r="C22" s="1">
        <f>AVERAGE(C15:C21)</f>
        <v>3.1951285714285715</v>
      </c>
      <c r="D22" s="1">
        <f t="shared" ref="D22:J22" si="1">AVERAGE(D15:D21)</f>
        <v>3.2098857142857145</v>
      </c>
      <c r="E22" s="1">
        <f t="shared" si="1"/>
        <v>3.3959285714285707</v>
      </c>
      <c r="F22" s="1">
        <f t="shared" si="1"/>
        <v>3.3681128571428571</v>
      </c>
      <c r="G22" s="1"/>
      <c r="H22" s="1">
        <f>AVERAGE(H15:H21)</f>
        <v>4.7619714285714281</v>
      </c>
      <c r="I22" s="1">
        <f t="shared" si="1"/>
        <v>12.370271428571428</v>
      </c>
      <c r="J22" s="1">
        <f t="shared" si="1"/>
        <v>23.540228571428571</v>
      </c>
      <c r="K22" s="1">
        <f>AVERAGE(K15:K21)</f>
        <v>98.718457142857147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5064-F554-4439-A3DE-3DBA90F4378F}">
  <dimension ref="A1:K25"/>
  <sheetViews>
    <sheetView tabSelected="1" topLeftCell="G10" zoomScale="116" workbookViewId="0">
      <selection activeCell="H25" sqref="H25"/>
    </sheetView>
  </sheetViews>
  <sheetFormatPr defaultRowHeight="14.5" x14ac:dyDescent="0.35"/>
  <cols>
    <col min="1" max="1" width="13.6328125" bestFit="1" customWidth="1"/>
    <col min="2" max="2" width="23.81640625" bestFit="1" customWidth="1"/>
    <col min="3" max="3" width="26.1796875" bestFit="1" customWidth="1"/>
    <col min="4" max="4" width="18" bestFit="1" customWidth="1"/>
    <col min="5" max="5" width="16.453125" bestFit="1" customWidth="1"/>
    <col min="6" max="6" width="12.08984375" bestFit="1" customWidth="1"/>
    <col min="8" max="11" width="12.08984375" bestFit="1" customWidth="1"/>
  </cols>
  <sheetData>
    <row r="1" spans="1:11" x14ac:dyDescent="0.35">
      <c r="A1" t="s">
        <v>1</v>
      </c>
      <c r="B1" t="s">
        <v>16</v>
      </c>
      <c r="C1" t="s">
        <v>0</v>
      </c>
      <c r="D1" t="s">
        <v>9</v>
      </c>
      <c r="E1" t="s">
        <v>10</v>
      </c>
      <c r="F1" t="s">
        <v>11</v>
      </c>
      <c r="H1" t="s">
        <v>15</v>
      </c>
      <c r="I1" t="s">
        <v>12</v>
      </c>
      <c r="J1" t="s">
        <v>13</v>
      </c>
      <c r="K1" t="s">
        <v>14</v>
      </c>
    </row>
    <row r="2" spans="1:11" x14ac:dyDescent="0.35">
      <c r="A2" t="s">
        <v>2</v>
      </c>
      <c r="B2">
        <v>3.1720000000000002</v>
      </c>
      <c r="C2">
        <v>3.4028</v>
      </c>
      <c r="D2">
        <v>3.3950999999999998</v>
      </c>
      <c r="E2">
        <v>3.5834000000000001</v>
      </c>
      <c r="F2">
        <v>3.5819000000000001</v>
      </c>
      <c r="H2">
        <v>5.0811000000000002</v>
      </c>
      <c r="I2">
        <v>7.7186000000000003</v>
      </c>
      <c r="J2">
        <v>11.2857</v>
      </c>
      <c r="K2">
        <v>76.272900000000007</v>
      </c>
    </row>
    <row r="3" spans="1:11" x14ac:dyDescent="0.35">
      <c r="A3" t="s">
        <v>3</v>
      </c>
      <c r="B3">
        <v>3.1654</v>
      </c>
      <c r="C3">
        <v>3.4264000000000001</v>
      </c>
      <c r="D3">
        <v>3.3961999999999999</v>
      </c>
      <c r="E3">
        <v>3.5415999999999999</v>
      </c>
      <c r="F3">
        <v>3.5849000000000002</v>
      </c>
      <c r="H3">
        <v>5.1266999999999996</v>
      </c>
      <c r="I3">
        <v>7.7389999999999999</v>
      </c>
      <c r="J3">
        <v>11.305099999999999</v>
      </c>
      <c r="K3">
        <v>76.143600000000006</v>
      </c>
    </row>
    <row r="4" spans="1:11" x14ac:dyDescent="0.35">
      <c r="A4" t="s">
        <v>4</v>
      </c>
      <c r="B4">
        <v>3.1625999999999999</v>
      </c>
      <c r="C4">
        <v>3.3812000000000002</v>
      </c>
      <c r="D4">
        <v>3.4407999999999999</v>
      </c>
      <c r="E4">
        <v>3.5710000000000002</v>
      </c>
      <c r="F4">
        <v>3.6114000000000002</v>
      </c>
      <c r="H4">
        <v>5.0884999999999998</v>
      </c>
      <c r="I4">
        <v>7.6874000000000002</v>
      </c>
      <c r="J4">
        <v>11.295</v>
      </c>
      <c r="K4">
        <v>76.146500000000003</v>
      </c>
    </row>
    <row r="5" spans="1:11" x14ac:dyDescent="0.35">
      <c r="A5" t="s">
        <v>5</v>
      </c>
      <c r="B5">
        <v>3.2105999999999999</v>
      </c>
      <c r="C5">
        <v>3.3624000000000001</v>
      </c>
      <c r="D5">
        <v>3.4619</v>
      </c>
      <c r="E5">
        <v>3.5847000000000002</v>
      </c>
      <c r="F5">
        <v>3.5535999999999999</v>
      </c>
      <c r="H5">
        <v>5.0353000000000003</v>
      </c>
      <c r="I5">
        <v>7.6756000000000002</v>
      </c>
      <c r="J5">
        <v>11.283300000000001</v>
      </c>
      <c r="K5">
        <v>75.816199999999995</v>
      </c>
    </row>
    <row r="6" spans="1:11" x14ac:dyDescent="0.35">
      <c r="A6" t="s">
        <v>6</v>
      </c>
      <c r="B6">
        <v>3.1671999999999998</v>
      </c>
      <c r="C6">
        <v>3.4196</v>
      </c>
      <c r="D6">
        <v>3.3917000000000002</v>
      </c>
      <c r="E6">
        <v>3.5611999999999999</v>
      </c>
      <c r="F6">
        <v>3.5489999999999999</v>
      </c>
      <c r="H6">
        <v>5.1074000000000002</v>
      </c>
      <c r="I6">
        <v>7.7478999999999996</v>
      </c>
      <c r="J6">
        <v>11.328900000000001</v>
      </c>
      <c r="K6">
        <v>76.221500000000006</v>
      </c>
    </row>
    <row r="7" spans="1:11" x14ac:dyDescent="0.35">
      <c r="A7" t="s">
        <v>7</v>
      </c>
      <c r="B7">
        <v>3.1646999999999998</v>
      </c>
      <c r="C7">
        <v>3.3866999999999998</v>
      </c>
      <c r="D7">
        <v>3.4186999999999999</v>
      </c>
      <c r="E7">
        <v>3.5617999999999999</v>
      </c>
      <c r="F7">
        <v>3.5659999999999998</v>
      </c>
      <c r="H7">
        <v>5.1174999999999997</v>
      </c>
      <c r="I7">
        <v>7.7043999999999997</v>
      </c>
      <c r="J7">
        <v>11.300800000000001</v>
      </c>
      <c r="K7">
        <v>75.945499999999996</v>
      </c>
    </row>
    <row r="8" spans="1:11" x14ac:dyDescent="0.35">
      <c r="A8" t="s">
        <v>8</v>
      </c>
      <c r="B8">
        <v>3.1686000000000001</v>
      </c>
      <c r="C8">
        <v>3.3792</v>
      </c>
      <c r="D8">
        <v>3.3990999999999998</v>
      </c>
      <c r="E8">
        <v>3.7006000000000001</v>
      </c>
      <c r="F8">
        <v>3.5674999999999999</v>
      </c>
      <c r="H8">
        <v>5.0823</v>
      </c>
      <c r="I8">
        <v>7.7165999999999997</v>
      </c>
      <c r="J8">
        <v>11.271000000000001</v>
      </c>
      <c r="K8">
        <v>76.003600000000006</v>
      </c>
    </row>
    <row r="9" spans="1:11" x14ac:dyDescent="0.35">
      <c r="A9" s="1" t="s">
        <v>17</v>
      </c>
      <c r="B9" s="1">
        <f t="shared" ref="B9:J9" si="0">AVERAGE(B2:B8)</f>
        <v>3.1730142857142853</v>
      </c>
      <c r="C9" s="1">
        <f t="shared" si="0"/>
        <v>3.3940428571428574</v>
      </c>
      <c r="D9" s="1">
        <f t="shared" si="0"/>
        <v>3.4147857142857143</v>
      </c>
      <c r="E9" s="1">
        <f t="shared" si="0"/>
        <v>3.5863285714285715</v>
      </c>
      <c r="F9" s="1">
        <f t="shared" si="0"/>
        <v>3.5734714285714282</v>
      </c>
      <c r="G9" s="1"/>
      <c r="H9" s="1">
        <f t="shared" si="0"/>
        <v>5.0912571428571436</v>
      </c>
      <c r="I9" s="1">
        <f t="shared" si="0"/>
        <v>7.7127857142857144</v>
      </c>
      <c r="J9" s="1">
        <f t="shared" si="0"/>
        <v>11.295685714285714</v>
      </c>
      <c r="K9" s="1">
        <f>AVERAGE(K2:K8)</f>
        <v>76.078542857142864</v>
      </c>
    </row>
    <row r="13" spans="1:11" x14ac:dyDescent="0.35">
      <c r="A13" t="s">
        <v>18</v>
      </c>
    </row>
    <row r="14" spans="1:11" x14ac:dyDescent="0.35">
      <c r="A14" t="s">
        <v>1</v>
      </c>
      <c r="B14" t="s">
        <v>16</v>
      </c>
      <c r="C14" t="s">
        <v>0</v>
      </c>
      <c r="D14" t="s">
        <v>9</v>
      </c>
      <c r="E14" t="s">
        <v>10</v>
      </c>
      <c r="F14" t="s">
        <v>11</v>
      </c>
      <c r="H14" t="s">
        <v>15</v>
      </c>
      <c r="I14" t="s">
        <v>12</v>
      </c>
      <c r="J14" t="s">
        <v>13</v>
      </c>
      <c r="K14" t="s">
        <v>14</v>
      </c>
    </row>
    <row r="15" spans="1:11" x14ac:dyDescent="0.35">
      <c r="A15" t="s">
        <v>2</v>
      </c>
      <c r="B15">
        <v>3.1194999999999999</v>
      </c>
      <c r="C15">
        <v>3.2827999999999999</v>
      </c>
      <c r="D15">
        <v>3.2713999999999999</v>
      </c>
      <c r="E15">
        <v>3.4140999999999999</v>
      </c>
      <c r="F15">
        <v>3.4481000000000002</v>
      </c>
      <c r="H15">
        <v>4.8808999999999996</v>
      </c>
      <c r="I15">
        <v>12.7037</v>
      </c>
      <c r="J15">
        <v>24.200299999999999</v>
      </c>
      <c r="K15">
        <v>101.9113</v>
      </c>
    </row>
    <row r="16" spans="1:11" x14ac:dyDescent="0.35">
      <c r="A16" t="s">
        <v>3</v>
      </c>
      <c r="B16">
        <v>3.12</v>
      </c>
      <c r="C16">
        <v>3.3138999999999998</v>
      </c>
      <c r="D16">
        <v>3.3088000000000002</v>
      </c>
      <c r="E16">
        <v>3.5548999999999999</v>
      </c>
      <c r="F16">
        <v>3.4310999999999998</v>
      </c>
      <c r="H16">
        <v>4.8750999999999998</v>
      </c>
      <c r="I16">
        <v>12.685600000000001</v>
      </c>
      <c r="J16">
        <v>24.180399999999999</v>
      </c>
      <c r="K16">
        <v>101.85169999999999</v>
      </c>
    </row>
    <row r="17" spans="1:11" x14ac:dyDescent="0.35">
      <c r="A17" t="s">
        <v>4</v>
      </c>
      <c r="B17">
        <v>3.0308000000000002</v>
      </c>
      <c r="C17">
        <v>3.2823000000000002</v>
      </c>
      <c r="D17">
        <v>3.2751000000000001</v>
      </c>
      <c r="E17">
        <v>3.4165000000000001</v>
      </c>
      <c r="F17">
        <v>3.4056000000000002</v>
      </c>
      <c r="H17">
        <v>4.8769999999999998</v>
      </c>
      <c r="I17">
        <v>12.6882</v>
      </c>
      <c r="J17">
        <v>24.1662</v>
      </c>
      <c r="K17">
        <v>101.67619999999999</v>
      </c>
    </row>
    <row r="18" spans="1:11" x14ac:dyDescent="0.35">
      <c r="A18" t="s">
        <v>5</v>
      </c>
      <c r="B18">
        <v>3.1147</v>
      </c>
      <c r="C18">
        <v>3.2763</v>
      </c>
      <c r="D18">
        <v>3.2629999999999999</v>
      </c>
      <c r="E18">
        <v>3.4060999999999999</v>
      </c>
      <c r="F18">
        <v>3.4638</v>
      </c>
      <c r="H18">
        <v>4.8864999999999998</v>
      </c>
      <c r="I18">
        <v>12.729900000000001</v>
      </c>
      <c r="J18">
        <v>24.263100000000001</v>
      </c>
      <c r="K18">
        <v>102.2891</v>
      </c>
    </row>
    <row r="19" spans="1:11" x14ac:dyDescent="0.35">
      <c r="A19" t="s">
        <v>6</v>
      </c>
      <c r="B19">
        <v>3.0198999999999998</v>
      </c>
      <c r="C19">
        <v>3.3010000000000002</v>
      </c>
      <c r="D19">
        <v>3.2894000000000001</v>
      </c>
      <c r="E19">
        <v>3.5347</v>
      </c>
      <c r="F19">
        <v>3.4235000000000002</v>
      </c>
      <c r="H19">
        <v>4.8589000000000002</v>
      </c>
      <c r="I19">
        <v>12.658300000000001</v>
      </c>
      <c r="J19">
        <v>24.128</v>
      </c>
      <c r="K19">
        <v>101.6263</v>
      </c>
    </row>
    <row r="20" spans="1:11" x14ac:dyDescent="0.35">
      <c r="A20" t="s">
        <v>7</v>
      </c>
      <c r="B20">
        <v>3.0922000000000001</v>
      </c>
      <c r="C20">
        <v>3.3003</v>
      </c>
      <c r="D20">
        <v>3.2869999999999999</v>
      </c>
      <c r="E20">
        <v>3.5417000000000001</v>
      </c>
      <c r="F20">
        <v>3.4194</v>
      </c>
      <c r="H20">
        <v>4.8757999999999999</v>
      </c>
      <c r="I20">
        <v>12.674300000000001</v>
      </c>
      <c r="J20">
        <v>24.136800000000001</v>
      </c>
      <c r="K20">
        <v>101.4783</v>
      </c>
    </row>
    <row r="21" spans="1:11" x14ac:dyDescent="0.35">
      <c r="A21" t="s">
        <v>8</v>
      </c>
      <c r="B21">
        <v>3.0417000000000001</v>
      </c>
      <c r="C21">
        <v>3.2774999999999999</v>
      </c>
      <c r="D21">
        <v>3.2662</v>
      </c>
      <c r="E21">
        <v>3.4144999999999999</v>
      </c>
      <c r="F21">
        <v>3.4256000000000002</v>
      </c>
      <c r="H21">
        <v>4.8686999999999996</v>
      </c>
      <c r="I21">
        <v>12.683400000000001</v>
      </c>
      <c r="J21">
        <v>24.165900000000001</v>
      </c>
      <c r="K21">
        <v>101.7336</v>
      </c>
    </row>
    <row r="22" spans="1:11" x14ac:dyDescent="0.35">
      <c r="A22" s="1" t="s">
        <v>17</v>
      </c>
      <c r="B22" s="1">
        <f>AVERAGE(B15:B21)</f>
        <v>3.076971428571428</v>
      </c>
      <c r="C22" s="1">
        <f>AVERAGE(C15:C21)</f>
        <v>3.2905857142857142</v>
      </c>
      <c r="D22" s="1">
        <f t="shared" ref="D22:J22" si="1">AVERAGE(D15:D21)</f>
        <v>3.2801285714285711</v>
      </c>
      <c r="E22" s="1">
        <f t="shared" si="1"/>
        <v>3.4689285714285711</v>
      </c>
      <c r="F22" s="1">
        <f t="shared" si="1"/>
        <v>3.4310142857142858</v>
      </c>
      <c r="G22" s="1"/>
      <c r="H22" s="1">
        <f>AVERAGE(H15:H21)</f>
        <v>4.8746999999999989</v>
      </c>
      <c r="I22" s="1">
        <f t="shared" si="1"/>
        <v>12.689057142857143</v>
      </c>
      <c r="J22" s="1">
        <f t="shared" si="1"/>
        <v>24.177242857142858</v>
      </c>
      <c r="K22" s="1">
        <f>AVERAGE(K15:K21)</f>
        <v>101.79521428571429</v>
      </c>
    </row>
    <row r="24" spans="1:11" x14ac:dyDescent="0.35">
      <c r="B24">
        <f>AVERAGE('R4'!B22,'R3'!B22,'R2'!B22)</f>
        <v>3.0442142857142858</v>
      </c>
      <c r="C24">
        <f>AVERAGE('R4'!C22,'R3'!C22,'R2'!C22)</f>
        <v>3.2082333333333337</v>
      </c>
      <c r="D24">
        <f>AVERAGE('R4'!D22,'R3'!D22,'R2'!D22)</f>
        <v>3.2182761904761903</v>
      </c>
      <c r="E24">
        <f>AVERAGE('R4'!E22,'R3'!E22,'R2'!E22)</f>
        <v>3.364866666666666</v>
      </c>
      <c r="F24">
        <f>AVERAGE('R4'!F22,'R3'!F22,'R2'!F22)</f>
        <v>3.3203900000000002</v>
      </c>
      <c r="H24">
        <f>AVERAGE('R4'!H22,'R3'!H22,'R2'!H22)</f>
        <v>4.7594904761904759</v>
      </c>
      <c r="I24">
        <f>AVERAGE('R4'!I22,'R3'!I22,'R2'!I22)</f>
        <v>12.23447142857143</v>
      </c>
      <c r="J24">
        <f>AVERAGE('R4'!J22,'R3'!J22,'R2'!J22)</f>
        <v>23.172147619047621</v>
      </c>
      <c r="K24">
        <f>AVERAGE('R4'!K22,'R3'!K22,'R2'!K22)</f>
        <v>96.651219047619065</v>
      </c>
    </row>
    <row r="25" spans="1:11" x14ac:dyDescent="0.35">
      <c r="H25">
        <v>4.0384064000000004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R2</vt:lpstr>
      <vt:lpstr>R3</vt:lpstr>
      <vt:lpstr>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Lemoine</dc:creator>
  <cp:lastModifiedBy>Matthew Lemoine</cp:lastModifiedBy>
  <dcterms:created xsi:type="dcterms:W3CDTF">2026-06-20T21:53:06Z</dcterms:created>
  <dcterms:modified xsi:type="dcterms:W3CDTF">2026-06-26T22:34:08Z</dcterms:modified>
</cp:coreProperties>
</file>